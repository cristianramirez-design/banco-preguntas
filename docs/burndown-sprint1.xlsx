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rndown Sprint 1" sheetId="1" state="visible" r:id="rId3"/>
    <sheet name="Backlog Sprin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<sst xmlns="http://schemas.openxmlformats.org/spreadsheetml/2006/main" count="117" uniqueCount="63">
  <si>
    <t xml:space="preserve">Burndown Chart - Sprint 1 - Banco de Preguntas Saber Pro</t>
  </si>
  <si>
    <t xml:space="preserve">Celdas en amarillo: editar con los datos reales del equipo. El resto se calcula solo.</t>
  </si>
  <si>
    <t xml:space="preserve">Parametros del sprint</t>
  </si>
  <si>
    <t xml:space="preserve">Puntos comprometidos (total del sprint)</t>
  </si>
  <si>
    <t xml:space="preserve">Dias habiles del sprint</t>
  </si>
  <si>
    <t xml:space="preserve">Fuente: puntos y fechas definidos por el equipo. El total de 76 puntos corresponde a la suma de la hoja 'Backlog Sprint 1'.</t>
  </si>
  <si>
    <t xml:space="preserve">Dia</t>
  </si>
  <si>
    <t xml:space="preserve">Fecha</t>
  </si>
  <si>
    <t xml:space="preserve">Puntos completados en el dia</t>
  </si>
  <si>
    <t xml:space="preserve">Puntos restantes (real)</t>
  </si>
  <si>
    <t xml:space="preserve">Linea ideal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</si>
  <si>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</si>
  <si>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</si>
  <si>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</si>
  <si>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</si>
  <si>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</si>
  <si>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</si>
  <si>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</si>
  <si>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</si>
  <si>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</si>
  <si>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</si>
  <si>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2026-08-25</t>
  </si>
  <si>
    <t xml:space="preserve">2026-08-26</t>
  </si>
  <si>
    <t xml:space="preserve">Puntos pendientes al cierre del sprint</t>
  </si>
  <si>
    <t xml:space="preserve">Backlog del Sprint 1</t>
  </si>
  <si>
    <t xml:space="preserve">Tipo</t>
  </si>
  <si>
    <t xml:space="preserve">Resumen</t>
  </si>
  <si>
    <t xml:space="preserve">Historia</t>
  </si>
  <si>
    <t xml:space="preserve">Puntos</t>
  </si>
  <si>
    <t xml:space="preserve">Estado</t>
  </si>
  <si>
    <t xml:space="preserve">Responsable</t>
  </si>
  <si>
    <t xml:space="preserve">HU01 Crear pregunta de seleccion multiple con unica respuesta</t>
  </si>
  <si>
    <t xml:space="preserve">HU01</t>
  </si>
  <si>
    <t xml:space="preserve">Hecho</t>
  </si>
  <si>
    <t xml:space="preserve">Tarea</t>
  </si>
  <si>
    <t xml:space="preserve">Modelar entidad Pregunta con patron Builder</t>
  </si>
  <si>
    <t xml:space="preserve">Implementar reglas de validacion estructural (Strategy + Composite)</t>
  </si>
  <si>
    <t xml:space="preserve">Construir formulario Swing de creacion (MVC)</t>
  </si>
  <si>
    <t xml:space="preserve">HU02 Cambiar estado de borrador a Pendiente de revision</t>
  </si>
  <si>
    <t xml:space="preserve">HU02</t>
  </si>
  <si>
    <t xml:space="preserve">Implementar patron State para el ciclo de vida de la pregunta</t>
  </si>
  <si>
    <t xml:space="preserve">Renderizar los estados con colores en la tabla</t>
  </si>
  <si>
    <t xml:space="preserve">Accion Enviar a revision en el controlador del listado</t>
  </si>
  <si>
    <t xml:space="preserve">HU03 Listar mis preguntas con paginacion y filtros</t>
  </si>
  <si>
    <t xml:space="preserve">HU03</t>
  </si>
  <si>
    <t xml:space="preserve">Implementar PaginaResultado y paginacion en el servicio</t>
  </si>
  <si>
    <t xml:space="preserve">Implementar filtros por texto tema estado y dificultad</t>
  </si>
  <si>
    <t xml:space="preserve">Construir vista de listado con controles de paginacion</t>
  </si>
  <si>
    <t xml:space="preserve">HU04 Asignar revisores y notificar por correo</t>
  </si>
  <si>
    <t xml:space="preserve">HU04</t>
  </si>
  <si>
    <t xml:space="preserve">Implementar AsignacionService con reglas de negocio</t>
  </si>
  <si>
    <t xml:space="preserve">Implementar notificacion por correo (Observer + Adapter)</t>
  </si>
  <si>
    <t xml:space="preserve">Construir vista de asignacion de revisores</t>
  </si>
  <si>
    <t xml:space="preserve">Configurar repositorio Git y estructura Maven</t>
  </si>
  <si>
    <t xml:space="preserve">Tecnica</t>
  </si>
  <si>
    <t xml:space="preserve">Pruebas unitarias del dominio con JUnit 5</t>
  </si>
  <si>
    <t xml:space="preserve">Documento de arquitectura y modelo C4</t>
  </si>
  <si>
    <t xml:space="preserve">En progreso</t>
  </si>
  <si>
    <t xml:space="preserve">Prototipos de interfaz y test de usabilidad</t>
  </si>
  <si>
    <t xml:space="preserve">Video de sustentacion en YouTube</t>
  </si>
  <si>
    <t xml:space="preserve">Por hacer</t>
  </si>
  <si>
    <t xml:space="preserve">Total puntos</t>
  </si>
  <si>
    <t xml:space="preserve">Puntos en Hecho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</si>
</sst>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243A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824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4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Chart -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'Burndown Sprint 1'!D11</c:f>
              <c:strCache>
                <c:ptCount val="1"/>
                <c:pt idx="0">
                  <c:v>Puntos restantes (real)</c:v>
                </c:pt>
              </c:strCache>
            </c:strRef>
          </c:tx>
          <c:spPr>
            <a:solidFill>
              <a:srgbClr val="4a7ebb"/>
            </a:solidFill>
            <a:ln w="28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Sprint 1'!$A$12:$A$23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'Burndown Sprint 1'!$D$12:$D$23</c:f>
              <c:numCache>
                <c:formatCode>General</c:formatCode>
                <c:ptCount val="12"/>
                <c:pt idx="0">
                  <c:v>76</c:v>
                </c:pt>
                <c:pt idx="1">
                  <c:v>76</c:v>
                </c:pt>
                <c:pt idx="2">
                  <c:v>70</c:v>
                </c:pt>
                <c:pt idx="3">
                  <c:v>66</c:v>
                </c:pt>
                <c:pt idx="4">
                  <c:v>59</c:v>
                </c:pt>
                <c:pt idx="5">
                  <c:v>53</c:v>
                </c:pt>
                <c:pt idx="6">
                  <c:v>43</c:v>
                </c:pt>
                <c:pt idx="7">
                  <c:v>34</c:v>
                </c:pt>
                <c:pt idx="8">
                  <c:v>22</c:v>
                </c:pt>
                <c:pt idx="9">
                  <c:v>14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'Burndown Sprint 1'!E11</c:f>
              <c:strCache>
                <c:ptCount val="1"/>
                <c:pt idx="0">
                  <c:v>Linea ideal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Sprint 1'!$A$12:$A$23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'Burndown Sprint 1'!$E$12:$E$23</c:f>
              <c:numCache>
                <c:formatCode>General</c:formatCode>
                <c:ptCount val="12"/>
                <c:pt idx="0">
                  <c:v>76</c:v>
                </c:pt>
                <c:pt idx="1">
                  <c:v>69</c:v>
                </c:pt>
                <c:pt idx="2">
                  <c:v>62</c:v>
                </c:pt>
                <c:pt idx="3">
                  <c:v>55</c:v>
                </c:pt>
                <c:pt idx="4">
                  <c:v>48</c:v>
                </c:pt>
                <c:pt idx="5">
                  <c:v>41</c:v>
                </c:pt>
                <c:pt idx="6">
                  <c:v>35</c:v>
                </c:pt>
                <c:pt idx="7">
                  <c:v>28</c:v>
                </c:pt>
                <c:pt idx="8">
                  <c:v>21</c:v>
                </c:pt>
                <c:pt idx="9">
                  <c:v>14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93922"/>
        <c:axId val="25450096"/>
      </c:lineChart>
      <c:catAx>
        <c:axId val="37939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50096"/>
        <c:crosses val="autoZero"/>
        <c:auto val="1"/>
        <c:lblAlgn val="ctr"/>
        <c:lblOffset val="100"/>
        <c:noMultiLvlLbl val="0"/>
      </c:catAx>
      <c:valAx>
        <c:axId val="25450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 de historia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39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9</xdr:row>
      <xdr:rowOff>160920</xdr:rowOff>
    </xdr:from>
    <xdr:to>
      <xdr:col>17</xdr:col>
      <xdr:colOff>473040</xdr:colOff>
      <xdr:row>27</xdr:row>
      <xdr:rowOff>19800</xdr:rowOff>
    </xdr:to>
    <xdr:graphicFrame>
      <xdr:nvGraphicFramePr>
        <xdr:cNvPr id="0" name="Chart 1"/>
        <xdr:cNvGraphicFramePr/>
      </xdr:nvGraphicFramePr>
      <xdr:xfrm>
        <a:off x="7800840" y="19051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  <c r="B6" s="5" t="n">
        <v>76</v>
      </c>
    </row>
    <row r="7" customFormat="false" ht="15" hidden="false" customHeight="false" outlineLevel="0" collapsed="false">
      <c r="A7" s="4" t="s">
        <v>4</v>
      </c>
      <c r="B7" s="5" t="n">
        <v>12</v>
      </c>
    </row>
    <row r="9" customFormat="false" ht="15" hidden="false" customHeight="false" outlineLevel="0" collapsed="false">
      <c r="A9" s="2" t="s">
        <v>5</v>
      </c>
    </row>
    <row r="11" customFormat="false" ht="39.55" hidden="false" customHeight="false" outlineLevel="0" collapsed="false">
      <c r="A11" s="6" t="s">
        <v>6</v>
      </c>
      <c r="B11" s="6" t="s">
        <v>7</v>
      </c>
      <c r="C11" s="6" t="s">
        <v>8</v>
      </c>
      <c r="D11" s="6" t="s">
        <v>9</v>
      </c>
      <c r="E11" s="6" t="s">
        <v>10</v>
      </c>
    </row>
    <row r="12" customFormat="false" ht="15" hidden="false" customHeight="false" outlineLevel="0" collapsed="false">
      <c r="A12" s="7" t="n">
        <v>1</v>
      </c>
      <c r="B12" s="5" t="s">
        <v>11</v>
      </c>
      <c r="C12" s="5" t="n">
        <v>0</v>
      </c>
      <c r="D12" s="7" t="n">
        <f aca="false">$B$6-SUM($C$12:$C12)</f>
        <v>76</v>
      </c>
      <c r="E12" s="7" t="n">
        <f aca="false">ROUND($B$6-($B$6/($B$7-1))*(A12-1),0)</f>
        <v>76</v>
      </c>
    </row>
    <row r="13" customFormat="false" ht="15" hidden="false" customHeight="false" outlineLevel="0" collapsed="false">
      <c r="A13" s="7" t="n">
        <v>2</v>
      </c>
      <c r="B13" s="5" t="s">
        <v>12</v>
      </c>
      <c r="C13" s="5" t="n">
        <v>0</v>
      </c>
      <c r="D13" s="7" t="n">
        <f aca="false">$B$6-SUM($C$12:$C13)</f>
        <v>76</v>
      </c>
      <c r="E13" s="7" t="n">
        <f aca="false">ROUND($B$6-($B$6/($B$7-1))*(A13-1),0)</f>
        <v>69</v>
      </c>
    </row>
    <row r="14" customFormat="false" ht="15" hidden="false" customHeight="false" outlineLevel="0" collapsed="false">
      <c r="A14" s="7" t="n">
        <v>3</v>
      </c>
      <c r="B14" s="5" t="s">
        <v>13</v>
      </c>
      <c r="C14" s="5" t="n">
        <v>6</v>
      </c>
      <c r="D14" s="7" t="n">
        <f aca="false">$B$6-SUM($C$12:$C14)</f>
        <v>70</v>
      </c>
      <c r="E14" s="7" t="n">
        <f aca="false">ROUND($B$6-($B$6/($B$7-1))*(A14-1),0)</f>
        <v>62</v>
      </c>
    </row>
    <row r="15" customFormat="false" ht="15" hidden="false" customHeight="false" outlineLevel="0" collapsed="false">
      <c r="A15" s="7" t="n">
        <v>4</v>
      </c>
      <c r="B15" s="5" t="s">
        <v>14</v>
      </c>
      <c r="C15" s="5" t="n">
        <v>4</v>
      </c>
      <c r="D15" s="7" t="n">
        <f aca="false">$B$6-SUM($C$12:$C15)</f>
        <v>66</v>
      </c>
      <c r="E15" s="7" t="n">
        <f aca="false">ROUND($B$6-($B$6/($B$7-1))*(A15-1),0)</f>
        <v>55</v>
      </c>
    </row>
    <row r="16" customFormat="false" ht="15" hidden="false" customHeight="false" outlineLevel="0" collapsed="false">
      <c r="A16" s="7" t="n">
        <v>5</v>
      </c>
      <c r="B16" s="5" t="s">
        <v>15</v>
      </c>
      <c r="C16" s="5" t="n">
        <v>7</v>
      </c>
      <c r="D16" s="7" t="n">
        <f aca="false">$B$6-SUM($C$12:$C16)</f>
        <v>59</v>
      </c>
      <c r="E16" s="7" t="n">
        <f aca="false">ROUND($B$6-($B$6/($B$7-1))*(A16-1),0)</f>
        <v>48</v>
      </c>
    </row>
    <row r="17" customFormat="false" ht="15" hidden="false" customHeight="false" outlineLevel="0" collapsed="false">
      <c r="A17" s="7" t="n">
        <v>6</v>
      </c>
      <c r="B17" s="5" t="s">
        <v>16</v>
      </c>
      <c r="C17" s="5" t="n">
        <v>6</v>
      </c>
      <c r="D17" s="7" t="n">
        <f aca="false">$B$6-SUM($C$12:$C17)</f>
        <v>53</v>
      </c>
      <c r="E17" s="7" t="n">
        <f aca="false">ROUND($B$6-($B$6/($B$7-1))*(A17-1),0)</f>
        <v>41</v>
      </c>
    </row>
    <row r="18" customFormat="false" ht="15" hidden="false" customHeight="false" outlineLevel="0" collapsed="false">
      <c r="A18" s="7" t="n">
        <v>7</v>
      </c>
      <c r="B18" s="5" t="s">
        <v>17</v>
      </c>
      <c r="C18" s="5" t="n">
        <v>10</v>
      </c>
      <c r="D18" s="7" t="n">
        <f aca="false">$B$6-SUM($C$12:$C18)</f>
        <v>43</v>
      </c>
      <c r="E18" s="7" t="n">
        <f aca="false">ROUND($B$6-($B$6/($B$7-1))*(A18-1),0)</f>
        <v>35</v>
      </c>
    </row>
    <row r="19" customFormat="false" ht="15" hidden="false" customHeight="false" outlineLevel="0" collapsed="false">
      <c r="A19" s="7" t="n">
        <v>8</v>
      </c>
      <c r="B19" s="5" t="s">
        <v>18</v>
      </c>
      <c r="C19" s="5" t="n">
        <v>9</v>
      </c>
      <c r="D19" s="7" t="n">
        <f aca="false">$B$6-SUM($C$12:$C19)</f>
        <v>34</v>
      </c>
      <c r="E19" s="7" t="n">
        <f aca="false">ROUND($B$6-($B$6/($B$7-1))*(A19-1),0)</f>
        <v>28</v>
      </c>
    </row>
    <row r="20" customFormat="false" ht="15" hidden="false" customHeight="false" outlineLevel="0" collapsed="false">
      <c r="A20" s="7" t="n">
        <v>9</v>
      </c>
      <c r="B20" s="5" t="s">
        <v>19</v>
      </c>
      <c r="C20" s="5" t="n">
        <v>12</v>
      </c>
      <c r="D20" s="7" t="n">
        <f aca="false">$B$6-SUM($C$12:$C20)</f>
        <v>22</v>
      </c>
      <c r="E20" s="7" t="n">
        <f aca="false">ROUND($B$6-($B$6/($B$7-1))*(A20-1),0)</f>
        <v>21</v>
      </c>
    </row>
    <row r="21" customFormat="false" ht="15" hidden="false" customHeight="false" outlineLevel="0" collapsed="false">
      <c r="A21" s="7" t="n">
        <v>10</v>
      </c>
      <c r="B21" s="5" t="s">
        <v>20</v>
      </c>
      <c r="C21" s="5" t="n">
        <v>8</v>
      </c>
      <c r="D21" s="7" t="n">
        <f aca="false">$B$6-SUM($C$12:$C21)</f>
        <v>14</v>
      </c>
      <c r="E21" s="7" t="n">
        <f aca="false">ROUND($B$6-($B$6/($B$7-1))*(A21-1),0)</f>
        <v>14</v>
      </c>
    </row>
    <row r="22" customFormat="false" ht="15" hidden="false" customHeight="false" outlineLevel="0" collapsed="false">
      <c r="A22" s="7" t="n">
        <v>11</v>
      </c>
      <c r="B22" s="5" t="s">
        <v>21</v>
      </c>
      <c r="C22" s="5" t="n">
        <v>3</v>
      </c>
      <c r="D22" s="7" t="n">
        <f aca="false">$B$6-SUM($C$12:$C22)</f>
        <v>11</v>
      </c>
      <c r="E22" s="7" t="n">
        <f aca="false">ROUND($B$6-($B$6/($B$7-1))*(A22-1),0)</f>
        <v>7</v>
      </c>
    </row>
    <row r="23" customFormat="false" ht="15" hidden="false" customHeight="false" outlineLevel="0" collapsed="false">
      <c r="A23" s="7" t="n">
        <v>12</v>
      </c>
      <c r="B23" s="5" t="s">
        <v>22</v>
      </c>
      <c r="C23" s="5" t="n">
        <v>0</v>
      </c>
      <c r="D23" s="7" t="n">
        <f aca="false">$B$6-SUM($C$12:$C23)</f>
        <v>11</v>
      </c>
      <c r="E23" s="7" t="n">
        <f aca="false">ROUND($B$6-($B$6/($B$7-1))*(A23-1),0)</f>
        <v>0</v>
      </c>
    </row>
    <row r="25" customFormat="false" ht="15" hidden="false" customHeight="false" outlineLevel="0" collapsed="false">
      <c r="A25" s="3" t="s">
        <v>23</v>
      </c>
      <c r="D25" s="3" t="n">
        <f aca="false">D23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30</v>
      </c>
    </row>
    <row r="4" customFormat="false" ht="15" hidden="false" customHeight="false" outlineLevel="0" collapsed="false">
      <c r="A4" s="7" t="s">
        <v>27</v>
      </c>
      <c r="B4" s="7" t="s">
        <v>31</v>
      </c>
      <c r="C4" s="7" t="s">
        <v>32</v>
      </c>
      <c r="D4" s="9" t="n">
        <v>8</v>
      </c>
      <c r="E4" s="9" t="s">
        <v>33</v>
      </c>
      <c r="F4" s="9"/>
    </row>
    <row r="5" customFormat="false" ht="15" hidden="false" customHeight="false" outlineLevel="0" collapsed="false">
      <c r="A5" s="7" t="s">
        <v>34</v>
      </c>
      <c r="B5" s="7" t="s">
        <v>35</v>
      </c>
      <c r="C5" s="7" t="s">
        <v>32</v>
      </c>
      <c r="D5" s="9" t="n">
        <v>2</v>
      </c>
      <c r="E5" s="9" t="s">
        <v>33</v>
      </c>
      <c r="F5" s="9"/>
    </row>
    <row r="6" customFormat="false" ht="15" hidden="false" customHeight="false" outlineLevel="0" collapsed="false">
      <c r="A6" s="7" t="s">
        <v>34</v>
      </c>
      <c r="B6" s="7" t="s">
        <v>36</v>
      </c>
      <c r="C6" s="7" t="s">
        <v>32</v>
      </c>
      <c r="D6" s="9" t="n">
        <v>3</v>
      </c>
      <c r="E6" s="9" t="s">
        <v>33</v>
      </c>
      <c r="F6" s="9"/>
    </row>
    <row r="7" customFormat="false" ht="15" hidden="false" customHeight="false" outlineLevel="0" collapsed="false">
      <c r="A7" s="7" t="s">
        <v>34</v>
      </c>
      <c r="B7" s="7" t="s">
        <v>37</v>
      </c>
      <c r="C7" s="7" t="s">
        <v>32</v>
      </c>
      <c r="D7" s="9" t="n">
        <v>3</v>
      </c>
      <c r="E7" s="9" t="s">
        <v>33</v>
      </c>
      <c r="F7" s="9"/>
    </row>
    <row r="8" customFormat="false" ht="15" hidden="false" customHeight="false" outlineLevel="0" collapsed="false">
      <c r="A8" s="7" t="s">
        <v>27</v>
      </c>
      <c r="B8" s="7" t="s">
        <v>38</v>
      </c>
      <c r="C8" s="7" t="s">
        <v>39</v>
      </c>
      <c r="D8" s="9" t="n">
        <v>5</v>
      </c>
      <c r="E8" s="9" t="s">
        <v>33</v>
      </c>
      <c r="F8" s="9"/>
    </row>
    <row r="9" customFormat="false" ht="15" hidden="false" customHeight="false" outlineLevel="0" collapsed="false">
      <c r="A9" s="7" t="s">
        <v>34</v>
      </c>
      <c r="B9" s="7" t="s">
        <v>40</v>
      </c>
      <c r="C9" s="7" t="s">
        <v>39</v>
      </c>
      <c r="D9" s="9" t="n">
        <v>2</v>
      </c>
      <c r="E9" s="9" t="s">
        <v>33</v>
      </c>
      <c r="F9" s="9"/>
    </row>
    <row r="10" customFormat="false" ht="15" hidden="false" customHeight="false" outlineLevel="0" collapsed="false">
      <c r="A10" s="7" t="s">
        <v>34</v>
      </c>
      <c r="B10" s="7" t="s">
        <v>41</v>
      </c>
      <c r="C10" s="7" t="s">
        <v>39</v>
      </c>
      <c r="D10" s="9" t="n">
        <v>1</v>
      </c>
      <c r="E10" s="9" t="s">
        <v>33</v>
      </c>
      <c r="F10" s="9"/>
    </row>
    <row r="11" customFormat="false" ht="15" hidden="false" customHeight="false" outlineLevel="0" collapsed="false">
      <c r="A11" s="7" t="s">
        <v>34</v>
      </c>
      <c r="B11" s="7" t="s">
        <v>42</v>
      </c>
      <c r="C11" s="7" t="s">
        <v>39</v>
      </c>
      <c r="D11" s="9" t="n">
        <v>2</v>
      </c>
      <c r="E11" s="9" t="s">
        <v>33</v>
      </c>
      <c r="F11" s="9"/>
    </row>
    <row r="12" customFormat="false" ht="15" hidden="false" customHeight="false" outlineLevel="0" collapsed="false">
      <c r="A12" s="7" t="s">
        <v>27</v>
      </c>
      <c r="B12" s="7" t="s">
        <v>43</v>
      </c>
      <c r="C12" s="7" t="s">
        <v>44</v>
      </c>
      <c r="D12" s="9" t="n">
        <v>8</v>
      </c>
      <c r="E12" s="9" t="s">
        <v>33</v>
      </c>
      <c r="F12" s="9"/>
    </row>
    <row r="13" customFormat="false" ht="15" hidden="false" customHeight="false" outlineLevel="0" collapsed="false">
      <c r="A13" s="7" t="s">
        <v>34</v>
      </c>
      <c r="B13" s="7" t="s">
        <v>45</v>
      </c>
      <c r="C13" s="7" t="s">
        <v>44</v>
      </c>
      <c r="D13" s="9" t="n">
        <v>3</v>
      </c>
      <c r="E13" s="9" t="s">
        <v>33</v>
      </c>
      <c r="F13" s="9"/>
    </row>
    <row r="14" customFormat="false" ht="15" hidden="false" customHeight="false" outlineLevel="0" collapsed="false">
      <c r="A14" s="7" t="s">
        <v>34</v>
      </c>
      <c r="B14" s="7" t="s">
        <v>46</v>
      </c>
      <c r="C14" s="7" t="s">
        <v>44</v>
      </c>
      <c r="D14" s="9" t="n">
        <v>3</v>
      </c>
      <c r="E14" s="9" t="s">
        <v>33</v>
      </c>
      <c r="F14" s="9"/>
    </row>
    <row r="15" customFormat="false" ht="15" hidden="false" customHeight="false" outlineLevel="0" collapsed="false">
      <c r="A15" s="7" t="s">
        <v>34</v>
      </c>
      <c r="B15" s="7" t="s">
        <v>47</v>
      </c>
      <c r="C15" s="7" t="s">
        <v>44</v>
      </c>
      <c r="D15" s="9" t="n">
        <v>2</v>
      </c>
      <c r="E15" s="9" t="s">
        <v>33</v>
      </c>
      <c r="F15" s="9"/>
    </row>
    <row r="16" customFormat="false" ht="15" hidden="false" customHeight="false" outlineLevel="0" collapsed="false">
      <c r="A16" s="7" t="s">
        <v>27</v>
      </c>
      <c r="B16" s="7" t="s">
        <v>48</v>
      </c>
      <c r="C16" s="7" t="s">
        <v>49</v>
      </c>
      <c r="D16" s="9" t="n">
        <v>8</v>
      </c>
      <c r="E16" s="9" t="s">
        <v>33</v>
      </c>
      <c r="F16" s="9"/>
    </row>
    <row r="17" customFormat="false" ht="15" hidden="false" customHeight="false" outlineLevel="0" collapsed="false">
      <c r="A17" s="7" t="s">
        <v>34</v>
      </c>
      <c r="B17" s="7" t="s">
        <v>50</v>
      </c>
      <c r="C17" s="7" t="s">
        <v>49</v>
      </c>
      <c r="D17" s="9" t="n">
        <v>3</v>
      </c>
      <c r="E17" s="9" t="s">
        <v>33</v>
      </c>
      <c r="F17" s="9"/>
    </row>
    <row r="18" customFormat="false" ht="15" hidden="false" customHeight="false" outlineLevel="0" collapsed="false">
      <c r="A18" s="7" t="s">
        <v>34</v>
      </c>
      <c r="B18" s="7" t="s">
        <v>51</v>
      </c>
      <c r="C18" s="7" t="s">
        <v>49</v>
      </c>
      <c r="D18" s="9" t="n">
        <v>3</v>
      </c>
      <c r="E18" s="9" t="s">
        <v>33</v>
      </c>
      <c r="F18" s="9"/>
    </row>
    <row r="19" customFormat="false" ht="15" hidden="false" customHeight="false" outlineLevel="0" collapsed="false">
      <c r="A19" s="7" t="s">
        <v>34</v>
      </c>
      <c r="B19" s="7" t="s">
        <v>52</v>
      </c>
      <c r="C19" s="7" t="s">
        <v>49</v>
      </c>
      <c r="D19" s="9" t="n">
        <v>2</v>
      </c>
      <c r="E19" s="9" t="s">
        <v>33</v>
      </c>
      <c r="F19" s="9"/>
    </row>
    <row r="20" customFormat="false" ht="15" hidden="false" customHeight="false" outlineLevel="0" collapsed="false">
      <c r="A20" s="7" t="s">
        <v>34</v>
      </c>
      <c r="B20" s="7" t="s">
        <v>53</v>
      </c>
      <c r="C20" s="7" t="s">
        <v>54</v>
      </c>
      <c r="D20" s="9" t="n">
        <v>2</v>
      </c>
      <c r="E20" s="9" t="s">
        <v>33</v>
      </c>
      <c r="F20" s="9"/>
    </row>
    <row r="21" customFormat="false" ht="15" hidden="false" customHeight="false" outlineLevel="0" collapsed="false">
      <c r="A21" s="7" t="s">
        <v>34</v>
      </c>
      <c r="B21" s="7" t="s">
        <v>55</v>
      </c>
      <c r="C21" s="7" t="s">
        <v>54</v>
      </c>
      <c r="D21" s="9" t="n">
        <v>5</v>
      </c>
      <c r="E21" s="9" t="s">
        <v>33</v>
      </c>
      <c r="F21" s="9"/>
    </row>
    <row r="22" customFormat="false" ht="15" hidden="false" customHeight="false" outlineLevel="0" collapsed="false">
      <c r="A22" s="7" t="s">
        <v>34</v>
      </c>
      <c r="B22" s="7" t="s">
        <v>56</v>
      </c>
      <c r="C22" s="7" t="s">
        <v>54</v>
      </c>
      <c r="D22" s="9" t="n">
        <v>5</v>
      </c>
      <c r="E22" s="9" t="s">
        <v>57</v>
      </c>
      <c r="F22" s="9"/>
    </row>
    <row r="23" customFormat="false" ht="15" hidden="false" customHeight="false" outlineLevel="0" collapsed="false">
      <c r="A23" s="7" t="s">
        <v>34</v>
      </c>
      <c r="B23" s="7" t="s">
        <v>58</v>
      </c>
      <c r="C23" s="7" t="s">
        <v>54</v>
      </c>
      <c r="D23" s="9" t="n">
        <v>3</v>
      </c>
      <c r="E23" s="9" t="s">
        <v>57</v>
      </c>
      <c r="F23" s="9"/>
    </row>
    <row r="24" customFormat="false" ht="15" hidden="false" customHeight="false" outlineLevel="0" collapsed="false">
      <c r="A24" s="7" t="s">
        <v>34</v>
      </c>
      <c r="B24" s="7" t="s">
        <v>59</v>
      </c>
      <c r="C24" s="7" t="s">
        <v>54</v>
      </c>
      <c r="D24" s="9" t="n">
        <v>3</v>
      </c>
      <c r="E24" s="9" t="s">
        <v>60</v>
      </c>
      <c r="F24" s="9"/>
    </row>
    <row r="26" customFormat="false" ht="15" hidden="false" customHeight="false" outlineLevel="0" collapsed="false">
      <c r="C26" s="3" t="s">
        <v>61</v>
      </c>
      <c r="D26" s="3" t="n">
        <f aca="false">SUM(D4:D24)</f>
        <v>76</v>
      </c>
    </row>
    <row r="27" customFormat="false" ht="15" hidden="false" customHeight="false" outlineLevel="0" collapsed="false">
      <c r="C27" s="4" t="s">
        <v>62</v>
      </c>
      <c r="D27" s="4" t="n">
        <f aca="false">SUMIF(E4:E24,"Hecho",D4:D24)</f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2026-09-18T03:27:52Z</dcterms:created>
  <dc:creator>openpyxl</dc:creator>
  <dc:description/>
  <dc:language>en-US</dc:language>
  <cp:lastModifiedBy/>
  <dcterms:modified xsi:type="dcterms:W3CDTF">2026-09-18T03:27:53Z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